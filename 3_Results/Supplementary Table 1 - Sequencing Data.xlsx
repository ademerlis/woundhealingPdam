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<sst xmlns="http://schemas.openxmlformats.org/spreadsheetml/2006/main" count="57" uniqueCount="35">
  <si>
    <t>Code</t>
  </si>
  <si>
    <t>Coral ID</t>
  </si>
  <si>
    <t>Treatment</t>
  </si>
  <si>
    <t>Replicate</t>
  </si>
  <si>
    <t>Hour Post-Wounding</t>
  </si>
  <si>
    <t>Raw Read Count (Millions)</t>
  </si>
  <si>
    <t>Trimmed Read Count (Millions)</t>
  </si>
  <si>
    <t>0301C1</t>
  </si>
  <si>
    <t>Control</t>
  </si>
  <si>
    <t>0302C2</t>
  </si>
  <si>
    <t>0303C3</t>
  </si>
  <si>
    <t>0304X</t>
  </si>
  <si>
    <t>Wounded</t>
  </si>
  <si>
    <t>0305Y</t>
  </si>
  <si>
    <t>0306Z</t>
  </si>
  <si>
    <t>1307C1</t>
  </si>
  <si>
    <t>1308C2</t>
  </si>
  <si>
    <t>1309C3</t>
  </si>
  <si>
    <t>1310X</t>
  </si>
  <si>
    <t>1311Y</t>
  </si>
  <si>
    <t>1312Z</t>
  </si>
  <si>
    <t>2313C1</t>
  </si>
  <si>
    <t>2314C2</t>
  </si>
  <si>
    <t>2315C3</t>
  </si>
  <si>
    <t>2316X</t>
  </si>
  <si>
    <t>2317Y</t>
  </si>
  <si>
    <t>2318Z</t>
  </si>
  <si>
    <t>4325C1</t>
  </si>
  <si>
    <t>4326C2</t>
  </si>
  <si>
    <t>4327C3</t>
  </si>
  <si>
    <t>4328X</t>
  </si>
  <si>
    <t>4329Y</t>
  </si>
  <si>
    <t>4330Z</t>
  </si>
  <si>
    <t>Mean</t>
  </si>
  <si>
    <t>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</si>
</sst>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333333"/>
      <name val="&quot;Helvetica Neue&quot;"/>
    </font>
    <font>
      <color theme="1"/>
      <name val="Arial"/>
      <scheme val="minor"/>
    </font>
    <font>
      <color rgb="FF333333"/>
      <name val="&quot;Helvetica Neue&quot;"/>
    </font>
    <font>
      <b/>
      <color theme="1"/>
      <name val="Arial"/>
      <scheme val="minor"/>
    </font>
    <font>
      <sz val="11.0"/>
      <color rgb="FF001D35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8FF"/>
        <bgColor rgb="FFF5F8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2" fontId="3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2" numFmtId="3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" fillId="2" fontId="3" numFmtId="0" xfId="0" applyAlignment="1" applyBorder="1" applyFont="1">
      <alignment horizontal="left" readingOrder="0" shrinkToFit="0" vertical="top" wrapText="0"/>
    </xf>
    <xf borderId="1" fillId="2" fontId="5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readingOrder="0"/>
    </xf>
    <xf borderId="0" fillId="0" fontId="4" numFmtId="164" xfId="0" applyAlignment="1" applyFont="1" applyNumberFormat="1">
      <alignment horizontal="left"/>
    </xf>
    <xf borderId="0" fillId="3" fontId="7" numFmtId="164" xfId="0" applyAlignment="1" applyFill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5"/>
    <col customWidth="1" min="5" max="5" width="20.0"/>
    <col customWidth="1" min="6" max="6" width="24.63"/>
    <col customWidth="1" min="7" max="7" width="28.38"/>
    <col customWidth="1" min="9" max="9" width="2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7</v>
      </c>
      <c r="B2" s="6">
        <v>301.0</v>
      </c>
      <c r="C2" s="7" t="s">
        <v>8</v>
      </c>
      <c r="D2" s="6">
        <v>1.0</v>
      </c>
      <c r="E2" s="6">
        <v>0.0</v>
      </c>
      <c r="F2" s="8">
        <v>18.4</v>
      </c>
      <c r="G2" s="9">
        <v>8.4</v>
      </c>
      <c r="H2" s="8"/>
      <c r="I2" s="10"/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6" t="s">
        <v>9</v>
      </c>
      <c r="B3" s="6">
        <v>302.0</v>
      </c>
      <c r="C3" s="7" t="s">
        <v>8</v>
      </c>
      <c r="D3" s="6">
        <v>2.0</v>
      </c>
      <c r="E3" s="6">
        <v>0.0</v>
      </c>
      <c r="F3" s="8">
        <v>24.8</v>
      </c>
      <c r="G3" s="6">
        <v>11.4</v>
      </c>
      <c r="H3" s="8"/>
      <c r="I3" s="10"/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6" t="s">
        <v>10</v>
      </c>
      <c r="B4" s="6">
        <v>303.0</v>
      </c>
      <c r="C4" s="7" t="s">
        <v>8</v>
      </c>
      <c r="D4" s="6">
        <v>3.0</v>
      </c>
      <c r="E4" s="6">
        <v>0.0</v>
      </c>
      <c r="F4" s="8">
        <v>21.8</v>
      </c>
      <c r="G4" s="9">
        <v>9.7</v>
      </c>
      <c r="H4" s="8"/>
      <c r="I4" s="10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6" t="s">
        <v>11</v>
      </c>
      <c r="B5" s="6">
        <v>304.0</v>
      </c>
      <c r="C5" s="7" t="s">
        <v>12</v>
      </c>
      <c r="D5" s="6">
        <v>1.0</v>
      </c>
      <c r="E5" s="6">
        <v>0.0</v>
      </c>
      <c r="F5" s="8">
        <v>19.0</v>
      </c>
      <c r="G5" s="9">
        <v>8.9</v>
      </c>
      <c r="H5" s="8"/>
      <c r="I5" s="10"/>
      <c r="J5" s="1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6" t="s">
        <v>13</v>
      </c>
      <c r="B6" s="6">
        <v>305.0</v>
      </c>
      <c r="C6" s="7" t="s">
        <v>12</v>
      </c>
      <c r="D6" s="6">
        <v>2.0</v>
      </c>
      <c r="E6" s="6">
        <v>0.0</v>
      </c>
      <c r="F6" s="8">
        <v>20.8</v>
      </c>
      <c r="G6" s="9">
        <v>9.6</v>
      </c>
      <c r="H6" s="8"/>
      <c r="I6" s="10"/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6" t="s">
        <v>14</v>
      </c>
      <c r="B7" s="6">
        <v>306.0</v>
      </c>
      <c r="C7" s="7" t="s">
        <v>12</v>
      </c>
      <c r="D7" s="6">
        <v>3.0</v>
      </c>
      <c r="E7" s="6">
        <v>0.0</v>
      </c>
      <c r="F7" s="8">
        <v>20.4</v>
      </c>
      <c r="G7" s="9">
        <v>8.5</v>
      </c>
      <c r="H7" s="8"/>
      <c r="I7" s="10"/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6" t="s">
        <v>15</v>
      </c>
      <c r="B8" s="6">
        <v>307.0</v>
      </c>
      <c r="C8" s="7" t="s">
        <v>8</v>
      </c>
      <c r="D8" s="6">
        <v>1.0</v>
      </c>
      <c r="E8" s="6">
        <v>1.0</v>
      </c>
      <c r="F8" s="8">
        <v>16.6</v>
      </c>
      <c r="G8" s="9">
        <v>6.8</v>
      </c>
      <c r="H8" s="8"/>
      <c r="I8" s="10"/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6" t="s">
        <v>16</v>
      </c>
      <c r="B9" s="6">
        <v>308.0</v>
      </c>
      <c r="C9" s="7" t="s">
        <v>8</v>
      </c>
      <c r="D9" s="6">
        <v>2.0</v>
      </c>
      <c r="E9" s="6">
        <v>1.0</v>
      </c>
      <c r="F9" s="8">
        <v>22.6</v>
      </c>
      <c r="G9" s="9">
        <v>6.4</v>
      </c>
      <c r="H9" s="8"/>
      <c r="I9" s="10"/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6" t="s">
        <v>17</v>
      </c>
      <c r="B10" s="6">
        <v>309.0</v>
      </c>
      <c r="C10" s="7" t="s">
        <v>8</v>
      </c>
      <c r="D10" s="6">
        <v>3.0</v>
      </c>
      <c r="E10" s="6">
        <v>1.0</v>
      </c>
      <c r="F10" s="8">
        <v>26.2</v>
      </c>
      <c r="G10" s="9">
        <v>11.4</v>
      </c>
      <c r="H10" s="8"/>
      <c r="I10" s="10"/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6" t="s">
        <v>18</v>
      </c>
      <c r="B11" s="6">
        <v>310.0</v>
      </c>
      <c r="C11" s="7" t="s">
        <v>12</v>
      </c>
      <c r="D11" s="6">
        <v>1.0</v>
      </c>
      <c r="E11" s="6">
        <v>1.0</v>
      </c>
      <c r="F11" s="8">
        <v>20.8</v>
      </c>
      <c r="G11" s="9">
        <v>7.4</v>
      </c>
      <c r="H11" s="8"/>
      <c r="I11" s="10"/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6" t="s">
        <v>19</v>
      </c>
      <c r="B12" s="6">
        <v>311.0</v>
      </c>
      <c r="C12" s="7" t="s">
        <v>12</v>
      </c>
      <c r="D12" s="6">
        <v>2.0</v>
      </c>
      <c r="E12" s="6">
        <v>1.0</v>
      </c>
      <c r="F12" s="8">
        <v>23.4</v>
      </c>
      <c r="G12" s="9">
        <v>5.4</v>
      </c>
      <c r="H12" s="8"/>
      <c r="I12" s="10"/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6" t="s">
        <v>20</v>
      </c>
      <c r="B13" s="6">
        <v>312.0</v>
      </c>
      <c r="C13" s="7" t="s">
        <v>12</v>
      </c>
      <c r="D13" s="6">
        <v>3.0</v>
      </c>
      <c r="E13" s="6">
        <v>1.0</v>
      </c>
      <c r="F13" s="8">
        <v>22.2</v>
      </c>
      <c r="G13" s="9">
        <v>7.5</v>
      </c>
      <c r="H13" s="8"/>
      <c r="I13" s="10"/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6" t="s">
        <v>21</v>
      </c>
      <c r="B14" s="6">
        <v>313.0</v>
      </c>
      <c r="C14" s="7" t="s">
        <v>8</v>
      </c>
      <c r="D14" s="6">
        <v>1.0</v>
      </c>
      <c r="E14" s="6">
        <v>2.0</v>
      </c>
      <c r="F14" s="8">
        <v>15.8</v>
      </c>
      <c r="G14" s="9">
        <v>7.3</v>
      </c>
      <c r="H14" s="8"/>
      <c r="I14" s="10"/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6" t="s">
        <v>22</v>
      </c>
      <c r="B15" s="6">
        <v>314.0</v>
      </c>
      <c r="C15" s="7" t="s">
        <v>8</v>
      </c>
      <c r="D15" s="6">
        <v>2.0</v>
      </c>
      <c r="E15" s="6">
        <v>2.0</v>
      </c>
      <c r="F15" s="8">
        <v>22.4</v>
      </c>
      <c r="G15" s="9">
        <v>10.4</v>
      </c>
      <c r="H15" s="8"/>
      <c r="I15" s="10"/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6" t="s">
        <v>23</v>
      </c>
      <c r="B16" s="6">
        <v>315.0</v>
      </c>
      <c r="C16" s="7" t="s">
        <v>8</v>
      </c>
      <c r="D16" s="6">
        <v>3.0</v>
      </c>
      <c r="E16" s="6">
        <v>2.0</v>
      </c>
      <c r="F16" s="8">
        <v>15.8</v>
      </c>
      <c r="G16" s="9">
        <v>7.4</v>
      </c>
      <c r="H16" s="8"/>
      <c r="I16" s="10"/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6" t="s">
        <v>24</v>
      </c>
      <c r="B17" s="6">
        <v>316.0</v>
      </c>
      <c r="C17" s="7" t="s">
        <v>12</v>
      </c>
      <c r="D17" s="6">
        <v>1.0</v>
      </c>
      <c r="E17" s="6">
        <v>2.0</v>
      </c>
      <c r="F17" s="8">
        <v>19.2</v>
      </c>
      <c r="G17" s="9">
        <v>8.4</v>
      </c>
      <c r="H17" s="8"/>
      <c r="I17" s="10"/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6" t="s">
        <v>25</v>
      </c>
      <c r="B18" s="6">
        <v>317.0</v>
      </c>
      <c r="C18" s="7" t="s">
        <v>12</v>
      </c>
      <c r="D18" s="6">
        <v>2.0</v>
      </c>
      <c r="E18" s="6">
        <v>2.0</v>
      </c>
      <c r="F18" s="8">
        <v>24.2</v>
      </c>
      <c r="G18" s="9">
        <v>11.4</v>
      </c>
      <c r="H18" s="8"/>
      <c r="I18" s="10"/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6" t="s">
        <v>26</v>
      </c>
      <c r="B19" s="6">
        <v>318.0</v>
      </c>
      <c r="C19" s="7" t="s">
        <v>12</v>
      </c>
      <c r="D19" s="6">
        <v>3.0</v>
      </c>
      <c r="E19" s="6">
        <v>2.0</v>
      </c>
      <c r="F19" s="8">
        <v>24.8</v>
      </c>
      <c r="G19" s="9">
        <v>11.6</v>
      </c>
      <c r="H19" s="8"/>
      <c r="I19" s="10"/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6" t="s">
        <v>27</v>
      </c>
      <c r="B20" s="6">
        <v>325.0</v>
      </c>
      <c r="C20" s="7" t="s">
        <v>8</v>
      </c>
      <c r="D20" s="6">
        <v>1.0</v>
      </c>
      <c r="E20" s="6">
        <v>4.0</v>
      </c>
      <c r="F20" s="8">
        <v>26.6</v>
      </c>
      <c r="G20" s="9">
        <v>11.7</v>
      </c>
      <c r="H20" s="8"/>
      <c r="I20" s="10"/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6" t="s">
        <v>28</v>
      </c>
      <c r="B21" s="6">
        <v>326.0</v>
      </c>
      <c r="C21" s="7" t="s">
        <v>8</v>
      </c>
      <c r="D21" s="6">
        <v>2.0</v>
      </c>
      <c r="E21" s="6">
        <v>4.0</v>
      </c>
      <c r="F21" s="8">
        <v>27.8</v>
      </c>
      <c r="G21" s="9">
        <v>12.8</v>
      </c>
      <c r="H21" s="8"/>
      <c r="I21" s="10"/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6" t="s">
        <v>29</v>
      </c>
      <c r="B22" s="6">
        <v>327.0</v>
      </c>
      <c r="C22" s="7" t="s">
        <v>8</v>
      </c>
      <c r="D22" s="6">
        <v>3.0</v>
      </c>
      <c r="E22" s="6">
        <v>4.0</v>
      </c>
      <c r="F22" s="8">
        <v>18.4</v>
      </c>
      <c r="G22" s="9">
        <v>8.5</v>
      </c>
      <c r="H22" s="8"/>
      <c r="I22" s="10"/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6" t="s">
        <v>30</v>
      </c>
      <c r="B23" s="6">
        <v>328.0</v>
      </c>
      <c r="C23" s="7" t="s">
        <v>12</v>
      </c>
      <c r="D23" s="6">
        <v>1.0</v>
      </c>
      <c r="E23" s="6">
        <v>4.0</v>
      </c>
      <c r="F23" s="8">
        <v>20.4</v>
      </c>
      <c r="G23" s="9">
        <v>9.4</v>
      </c>
      <c r="H23" s="8"/>
      <c r="I23" s="10"/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6" t="s">
        <v>31</v>
      </c>
      <c r="B24" s="6">
        <v>329.0</v>
      </c>
      <c r="C24" s="7" t="s">
        <v>12</v>
      </c>
      <c r="D24" s="6">
        <v>2.0</v>
      </c>
      <c r="E24" s="6">
        <v>4.0</v>
      </c>
      <c r="F24" s="8">
        <v>23.4</v>
      </c>
      <c r="G24" s="9">
        <v>10.5</v>
      </c>
      <c r="H24" s="8"/>
      <c r="I24" s="10"/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6" t="s">
        <v>32</v>
      </c>
      <c r="B25" s="6">
        <v>330.0</v>
      </c>
      <c r="C25" s="7" t="s">
        <v>12</v>
      </c>
      <c r="D25" s="6">
        <v>3.0</v>
      </c>
      <c r="E25" s="6">
        <v>4.0</v>
      </c>
      <c r="F25" s="8">
        <v>20.4</v>
      </c>
      <c r="G25" s="9">
        <v>9.3</v>
      </c>
      <c r="H25" s="8"/>
      <c r="I25" s="10"/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10"/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12" t="s">
        <v>33</v>
      </c>
      <c r="F27" s="13">
        <f t="shared" ref="F27:G27" si="1">AVERAGE(F2:F25)</f>
        <v>21.50833333</v>
      </c>
      <c r="G27" s="13">
        <f t="shared" si="1"/>
        <v>9.170833333</v>
      </c>
      <c r="H27" s="8"/>
      <c r="I27" s="10"/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9" t="s">
        <v>34</v>
      </c>
      <c r="F28" s="14">
        <f t="shared" ref="F28:G28" si="2">_xlfn.STDEV.S(F2:F25)/SQRT(COUNT(F2:F25))</f>
        <v>0.6743734791</v>
      </c>
      <c r="G28" s="14">
        <f t="shared" si="2"/>
        <v>0.3956960097</v>
      </c>
      <c r="H28" s="8"/>
      <c r="I28" s="10"/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10"/>
      <c r="J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10"/>
      <c r="J30" s="1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10"/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10"/>
      <c r="J32" s="1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10"/>
      <c r="J33" s="1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10"/>
      <c r="J34" s="1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10"/>
      <c r="J35" s="1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10"/>
      <c r="J36" s="1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10"/>
      <c r="J37" s="1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10"/>
      <c r="J38" s="1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10"/>
      <c r="J39" s="1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10"/>
      <c r="J40" s="1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10"/>
      <c r="J41" s="1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10"/>
      <c r="J42" s="1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10"/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10"/>
      <c r="J44" s="1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10"/>
      <c r="J45" s="1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10"/>
      <c r="J46" s="1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10"/>
      <c r="J47" s="1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10"/>
      <c r="J48" s="1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10"/>
      <c r="J49" s="1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</sheetData>
  <drawing r:id="rId1"/>
</worksheet>
</file>